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Excel Projects\"/>
    </mc:Choice>
  </mc:AlternateContent>
  <xr:revisionPtr revIDLastSave="0" documentId="8_{87C9368F-960A-467A-8E28-70D0E5F98366}" xr6:coauthVersionLast="47" xr6:coauthVersionMax="47" xr10:uidLastSave="{00000000-0000-0000-0000-000000000000}"/>
  <bookViews>
    <workbookView xWindow="-120" yWindow="-120" windowWidth="24240" windowHeight="13140" xr2:uid="{A9498A0A-67BD-469F-8A54-AA8AAB57EF2B}"/>
  </bookViews>
  <sheets>
    <sheet name="Mereged &amp; Pivot Tables" sheetId="6" r:id="rId1"/>
    <sheet name="Dashboard" sheetId="12" r:id="rId2"/>
    <sheet name="Employee" sheetId="1" r:id="rId3"/>
    <sheet name="Department Targets" sheetId="3" r:id="rId4"/>
    <sheet name="Employee Sales" sheetId="2" r:id="rId5"/>
  </sheets>
  <definedNames>
    <definedName name="_xlcn.WorksheetConnection_Book1Merge_Table1" hidden="1">Merge_Table[]</definedName>
    <definedName name="ExternalData_2" localSheetId="0" hidden="1">'Mereged &amp; Pivot Tables'!$A$1:$E$6</definedName>
    <definedName name="Slicer_Department">#N/A</definedName>
    <definedName name="Slicer_Month__Month">#N/A</definedName>
  </definedNames>
  <calcPr calcId="191029"/>
  <pivotCaches>
    <pivotCache cacheId="504" r:id="rId6"/>
    <pivotCache cacheId="516" r:id="rId7"/>
  </pivotCaches>
  <extLst>
    <ext xmlns:x14="http://schemas.microsoft.com/office/spreadsheetml/2009/9/main" uri="{876F7934-8845-4945-9796-88D515C7AA90}">
      <x14:pivotCaches>
        <pivotCache cacheId="56" r:id="rId8"/>
        <pivotCache cacheId="249"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rge_Table" name="Merge_Table" connection="WorksheetConnection_Book1!Merge_Table"/>
        </x15:modelTables>
        <x15:extLst>
          <ext xmlns:x16="http://schemas.microsoft.com/office/spreadsheetml/2014/11/main" uri="{9835A34E-60A6-4A7C-AAB8-D5F71C897F49}">
            <x16:modelTimeGroupings>
              <x16:modelTimeGrouping tableName="Merge_Table" columnName="Month" columnId="Month">
                <x16:calculatedTimeColumn columnName="Month (Month Index)" columnId="Month (Month Index)" contentType="monthsindex" isSelected="1"/>
                <x16:calculatedTimeColumn columnName="Month (Month)" columnId="Month (Month)" contentType="months" isSelected="1"/>
              </x16:modelTimeGrouping>
            </x16:modelTimeGroupings>
          </ext>
        </x15:extLst>
      </x15:dataModel>
    </ext>
  </extLst>
</workbook>
</file>

<file path=xl/calcChain.xml><?xml version="1.0" encoding="utf-8"?>
<calcChain xmlns="http://schemas.openxmlformats.org/spreadsheetml/2006/main">
  <c r="F2" i="6" l="1"/>
  <c r="F3" i="6"/>
  <c r="F4" i="6"/>
  <c r="F5" i="6"/>
  <c r="F6" i="6"/>
  <c r="F5" i="12"/>
  <c r="F3" i="12"/>
  <c r="F1"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5AC2BF-55AE-437E-9881-72A2EFF4EC64}" keepAlive="1" name="Query - Employee" description="Connection to the 'Employee' query in the workbook." type="5" refreshedVersion="8" background="1" saveData="1">
    <dbPr connection="Provider=Microsoft.Mashup.OleDb.1;Data Source=$Workbook$;Location=Employee;Extended Properties=&quot;&quot;" command="SELECT * FROM [Employee]"/>
  </connection>
  <connection id="2" xr16:uid="{2A41C9BF-3B92-4E6F-826A-B6BE17216799}" keepAlive="1" name="Query - Employee Sales" description="Connection to the 'Employee Sales' query in the workbook." type="5" refreshedVersion="8" background="1" saveData="1">
    <dbPr connection="Provider=Microsoft.Mashup.OleDb.1;Data Source=$Workbook$;Location=&quot;Employee Sales&quot;;Extended Properties=&quot;&quot;" command="SELECT * FROM [Employee Sales]"/>
  </connection>
  <connection id="3" xr16:uid="{C55125F7-69F5-4D5B-8CF2-E48F955BC7D4}" keepAlive="1" name="Query - Merge Table" description="Connection to the 'Merge Table' query in the workbook." type="5" refreshedVersion="8" background="1" saveData="1">
    <dbPr connection="Provider=Microsoft.Mashup.OleDb.1;Data Source=$Workbook$;Location=&quot;Merge Table&quot;;Extended Properties=&quot;&quot;" command="SELECT * FROM [Merge Table]"/>
  </connection>
  <connection id="4" xr16:uid="{E37AD84C-3932-46A5-862D-E8AB3593235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C16CC459-E156-4E62-9C10-98AF69F72167}" name="WorksheetConnection_Book1!Merge_Table" type="102" refreshedVersion="8" minRefreshableVersion="5">
    <extLst>
      <ext xmlns:x15="http://schemas.microsoft.com/office/spreadsheetml/2010/11/main" uri="{DE250136-89BD-433C-8126-D09CA5730AF9}">
        <x15:connection id="Merge_Table" autoDelete="1">
          <x15:rangePr sourceName="_xlcn.WorksheetConnection_Book1Merge_Table1"/>
        </x15:connection>
      </ext>
    </extLst>
  </connection>
</connections>
</file>

<file path=xl/sharedStrings.xml><?xml version="1.0" encoding="utf-8"?>
<sst xmlns="http://schemas.openxmlformats.org/spreadsheetml/2006/main" count="74" uniqueCount="40">
  <si>
    <t>Emp_ID</t>
  </si>
  <si>
    <t>Emp_Name</t>
  </si>
  <si>
    <t>Department</t>
  </si>
  <si>
    <t>City</t>
  </si>
  <si>
    <t>Join_Date</t>
  </si>
  <si>
    <t>Salary</t>
  </si>
  <si>
    <t>Status</t>
  </si>
  <si>
    <t>Ahmed Bilal</t>
  </si>
  <si>
    <t>IT</t>
  </si>
  <si>
    <t>Karachi</t>
  </si>
  <si>
    <t>Active</t>
  </si>
  <si>
    <t>Ali Khan</t>
  </si>
  <si>
    <t>HR</t>
  </si>
  <si>
    <t>Lahore</t>
  </si>
  <si>
    <t>Inactive</t>
  </si>
  <si>
    <t>Hina Sheikh</t>
  </si>
  <si>
    <t>Islamabad</t>
  </si>
  <si>
    <t>Hamza Ali</t>
  </si>
  <si>
    <t>Finance</t>
  </si>
  <si>
    <t>Usman Raza</t>
  </si>
  <si>
    <t>Month</t>
  </si>
  <si>
    <t>Sales</t>
  </si>
  <si>
    <t>Bonus_Percent</t>
  </si>
  <si>
    <t>Target_Sales</t>
  </si>
  <si>
    <t>Total Sales</t>
  </si>
  <si>
    <t>Total Bonus Amount</t>
  </si>
  <si>
    <t>Employee Count</t>
  </si>
  <si>
    <t>Month2</t>
  </si>
  <si>
    <t>Grand Total</t>
  </si>
  <si>
    <t>Jan</t>
  </si>
  <si>
    <t>Feb</t>
  </si>
  <si>
    <t>Date</t>
  </si>
  <si>
    <t>Total Employee</t>
  </si>
  <si>
    <t>Total Employees</t>
  </si>
  <si>
    <t>Dashboard</t>
  </si>
  <si>
    <t>Total Bonus</t>
  </si>
  <si>
    <t>Pivot Table</t>
  </si>
  <si>
    <t>Months/Dept.</t>
  </si>
  <si>
    <t>Months</t>
  </si>
  <si>
    <t xml:space="preserve"> First Project On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</si>
</sst>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sz val="8"/>
      <name val="Calibri"/>
      <family val="2"/>
      <scheme val="minor"/>
    </font>
    <font>
      <b/>
      <i/>
      <sz val="48"/>
      <color theme="1"/>
      <name val="Calibri"/>
      <family val="2"/>
      <scheme val="minor"/>
    </font>
    <font>
      <b/>
      <i/>
      <sz val="11"/>
      <color theme="1"/>
      <name val="Calibri"/>
      <family val="2"/>
      <scheme val="minor"/>
    </font>
    <font>
      <b/>
      <i/>
      <sz val="20"/>
      <color theme="1"/>
      <name val="Calibri"/>
      <family val="2"/>
      <scheme val="minor"/>
    </font>
    <font>
      <b/>
      <i/>
      <u/>
      <sz val="48"/>
      <color theme="0"/>
      <name val="Calibri"/>
      <family val="2"/>
      <scheme val="minor"/>
    </font>
    <font>
      <b/>
      <i/>
      <sz val="16"/>
      <color theme="1"/>
      <name val="Calibri"/>
      <family val="2"/>
      <scheme val="minor"/>
    </font>
    <font>
      <b/>
      <i/>
      <u/>
      <sz val="20"/>
      <color theme="1"/>
      <name val="Calibri"/>
      <family val="2"/>
      <scheme val="minor"/>
    </font>
  </fonts>
  <fills count="6">
    <fill>
      <patternFill patternType="none"/>
    </fill>
    <fill>
      <patternFill patternType="gray125"/>
    </fill>
    <fill>
      <patternFill patternType="solid">
        <fgColor theme="5" tint="0.39997558519241921"/>
        <bgColor indexed="64"/>
      </patternFill>
    </fill>
    <fill>
      <patternFill patternType="solid">
        <fgColor theme="5" tint="0.59999389629810485"/>
        <bgColor indexed="64"/>
      </patternFill>
    </fill>
    <fill>
      <patternFill patternType="solid">
        <fgColor theme="0"/>
        <bgColor indexed="64"/>
      </patternFill>
    </fill>
    <fill>
      <patternFill patternType="solid">
        <fgColor theme="1"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35">
    <xf numFmtId="0" fontId="0" fillId="0" borderId="0" xfId="0"/>
    <xf numFmtId="14"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16" fontId="0" fillId="0" borderId="1" xfId="0" applyNumberFormat="1" applyBorder="1"/>
    <xf numFmtId="0" fontId="0" fillId="0" borderId="1" xfId="0" applyBorder="1"/>
    <xf numFmtId="9" fontId="0" fillId="0" borderId="6" xfId="0" applyNumberFormat="1" applyBorder="1"/>
    <xf numFmtId="0" fontId="0" fillId="0" borderId="7" xfId="0" applyBorder="1"/>
    <xf numFmtId="16" fontId="0" fillId="0" borderId="8" xfId="0" applyNumberFormat="1" applyBorder="1"/>
    <xf numFmtId="0" fontId="0" fillId="0" borderId="8" xfId="0" applyBorder="1"/>
    <xf numFmtId="9" fontId="0" fillId="0" borderId="9" xfId="0" applyNumberFormat="1" applyBorder="1"/>
    <xf numFmtId="0" fontId="0" fillId="0" borderId="9" xfId="0" applyBorder="1"/>
    <xf numFmtId="14" fontId="0" fillId="0" borderId="1" xfId="0" applyNumberFormat="1" applyBorder="1"/>
    <xf numFmtId="0" fontId="0" fillId="0" borderId="6" xfId="0" applyBorder="1"/>
    <xf numFmtId="14" fontId="0" fillId="0" borderId="8" xfId="0" applyNumberFormat="1" applyBorder="1"/>
    <xf numFmtId="0" fontId="0" fillId="0" borderId="0" xfId="0" applyNumberFormat="1"/>
    <xf numFmtId="14" fontId="0" fillId="0" borderId="3" xfId="0" applyNumberFormat="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shrinkToFit="1"/>
    </xf>
    <xf numFmtId="0" fontId="4" fillId="4" borderId="0" xfId="0" applyFont="1" applyFill="1" applyBorder="1" applyAlignment="1">
      <alignment vertical="center"/>
    </xf>
    <xf numFmtId="0" fontId="0" fillId="4" borderId="0" xfId="0" applyFill="1" applyBorder="1"/>
    <xf numFmtId="0" fontId="3" fillId="2" borderId="0" xfId="0" applyFont="1" applyFill="1" applyBorder="1" applyAlignment="1">
      <alignment horizontal="center" vertical="center"/>
    </xf>
    <xf numFmtId="0" fontId="5" fillId="5" borderId="0" xfId="0" applyFont="1" applyFill="1" applyAlignment="1">
      <alignment horizontal="center" vertical="center"/>
    </xf>
    <xf numFmtId="0" fontId="6" fillId="3" borderId="1" xfId="0" applyFont="1" applyFill="1" applyBorder="1" applyAlignment="1">
      <alignment horizontal="left" vertical="center"/>
    </xf>
    <xf numFmtId="0" fontId="0" fillId="2" borderId="0" xfId="0" applyFill="1"/>
    <xf numFmtId="0" fontId="7" fillId="2" borderId="10" xfId="0" applyFont="1" applyFill="1" applyBorder="1" applyAlignment="1">
      <alignment horizontal="center" wrapText="1"/>
    </xf>
    <xf numFmtId="0" fontId="7" fillId="2" borderId="0" xfId="0" applyFont="1" applyFill="1" applyAlignment="1">
      <alignment horizontal="center" wrapText="1"/>
    </xf>
  </cellXfs>
  <cellStyles count="1">
    <cellStyle name="Normal" xfId="0" builtinId="0"/>
  </cellStyles>
  <dxfs count="33">
    <dxf>
      <font>
        <b/>
        <i/>
        <sz val="18"/>
      </font>
    </dxf>
    <dxf>
      <font>
        <b/>
        <color theme="1"/>
      </font>
      <border>
        <bottom style="thin">
          <color theme="5"/>
        </bottom>
        <vertical/>
        <horizontal/>
      </border>
    </dxf>
    <dxf>
      <font>
        <sz val="14"/>
        <color theme="1"/>
      </font>
      <border>
        <left style="thin">
          <color theme="5"/>
        </left>
        <right style="thin">
          <color theme="5"/>
        </right>
        <top style="thin">
          <color theme="5"/>
        </top>
        <bottom style="thin">
          <color theme="5"/>
        </bottom>
        <vertical/>
        <horizontal/>
      </border>
    </dxf>
    <dxf>
      <alignment horizontal="general" vertical="bottom" textRotation="0" wrapText="0" indent="0" justifyLastLine="0" shrinkToFit="0" readingOrder="0"/>
    </dxf>
    <dxf>
      <numFmt numFmtId="0" formatCode="General"/>
    </dxf>
    <dxf>
      <numFmt numFmtId="19" formatCode="m/d/yyyy"/>
    </dxf>
    <dxf>
      <numFmt numFmtId="0" formatCode="General"/>
    </dxf>
    <dxf>
      <numFmt numFmtId="19" formatCode="m/d/yyyy"/>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21" formatCode="d\-mm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13" formatCode="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1" formatCode="d\-mm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3" defaultTableStyle="TableStyleMedium2" defaultPivotStyle="PivotStyleLight16">
    <tableStyle name="new" pivot="0" table="0" count="10" xr9:uid="{2E8B1AC0-C090-4273-AB11-DCB78E1036D7}">
      <tableStyleElement type="wholeTable" dxfId="2"/>
      <tableStyleElement type="headerRow" dxfId="1"/>
    </tableStyle>
    <tableStyle name="Slicer Style 1" pivot="0" table="0" count="0" xr9:uid="{CB1B9927-7F96-48B1-84DE-DB1F7856F0E6}"/>
    <tableStyle name="Slicer Style 2" pivot="0" table="0" count="1" xr9:uid="{F582D462-1F87-451B-9333-44FEF0A1D289}">
      <tableStyleElement type="wholeTable"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ew">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1.xlsx]Mereged &amp; Pivot Tables!PivotTable1</c:name>
    <c:fmtId val="4"/>
  </c:pivotSource>
  <c:chart>
    <c:autoTitleDeleted val="0"/>
    <c:pivotFmts>
      <c:pivotFmt>
        <c:idx val="0"/>
        <c:spPr>
          <a:solidFill>
            <a:schemeClr val="accent2">
              <a:lumMod val="75000"/>
            </a:schemeClr>
          </a:solidFill>
          <a:ln>
            <a:solidFill>
              <a:schemeClr val="accent2">
                <a:lumMod val="7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2">
              <a:lumMod val="75000"/>
            </a:schemeClr>
          </a:solidFill>
          <a:ln>
            <a:solidFill>
              <a:schemeClr val="accent2">
                <a:lumMod val="7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753126539295414E-2"/>
          <c:y val="0.17197450940969777"/>
          <c:w val="0.88190788827806355"/>
          <c:h val="0.58565492879973102"/>
        </c:manualLayout>
      </c:layout>
      <c:barChart>
        <c:barDir val="col"/>
        <c:grouping val="clustered"/>
        <c:varyColors val="0"/>
        <c:ser>
          <c:idx val="0"/>
          <c:order val="0"/>
          <c:tx>
            <c:strRef>
              <c:f>'Mereged &amp; Pivot Tables'!$B$12</c:f>
              <c:strCache>
                <c:ptCount val="1"/>
                <c:pt idx="0">
                  <c:v>Total Sales</c:v>
                </c:pt>
              </c:strCache>
            </c:strRef>
          </c:tx>
          <c:spPr>
            <a:solidFill>
              <a:schemeClr val="accent2">
                <a:lumMod val="75000"/>
              </a:schemeClr>
            </a:solidFill>
            <a:ln>
              <a:solidFill>
                <a:schemeClr val="accent2">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'Mereged &amp; Pivot Tables'!$A$13:$A$20</c:f>
              <c:multiLvlStrCache>
                <c:ptCount val="5"/>
                <c:lvl>
                  <c:pt idx="0">
                    <c:v>Finance</c:v>
                  </c:pt>
                  <c:pt idx="1">
                    <c:v>HR</c:v>
                  </c:pt>
                  <c:pt idx="2">
                    <c:v>IT</c:v>
                  </c:pt>
                  <c:pt idx="3">
                    <c:v>Finance</c:v>
                  </c:pt>
                  <c:pt idx="4">
                    <c:v>IT</c:v>
                  </c:pt>
                </c:lvl>
                <c:lvl>
                  <c:pt idx="0">
                    <c:v>Jan</c:v>
                  </c:pt>
                  <c:pt idx="3">
                    <c:v>Feb</c:v>
                  </c:pt>
                </c:lvl>
              </c:multiLvlStrCache>
            </c:multiLvlStrRef>
          </c:cat>
          <c:val>
            <c:numRef>
              <c:f>'Mereged &amp; Pivot Tables'!$B$13:$B$20</c:f>
              <c:numCache>
                <c:formatCode>General</c:formatCode>
                <c:ptCount val="5"/>
                <c:pt idx="0">
                  <c:v>72000</c:v>
                </c:pt>
                <c:pt idx="1">
                  <c:v>98000</c:v>
                </c:pt>
                <c:pt idx="2">
                  <c:v>95000</c:v>
                </c:pt>
                <c:pt idx="3">
                  <c:v>75000</c:v>
                </c:pt>
                <c:pt idx="4">
                  <c:v>95000</c:v>
                </c:pt>
              </c:numCache>
            </c:numRef>
          </c:val>
          <c:extLst>
            <c:ext xmlns:c16="http://schemas.microsoft.com/office/drawing/2014/chart" uri="{C3380CC4-5D6E-409C-BE32-E72D297353CC}">
              <c16:uniqueId val="{00000011-3C81-4221-8125-32C903EC3CFE}"/>
            </c:ext>
          </c:extLst>
        </c:ser>
        <c:ser>
          <c:idx val="1"/>
          <c:order val="1"/>
          <c:tx>
            <c:strRef>
              <c:f>'Mereged &amp; Pivot Tables'!$C$12</c:f>
              <c:strCache>
                <c:ptCount val="1"/>
                <c:pt idx="0">
                  <c:v>Total Bonus Amount</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'Mereged &amp; Pivot Tables'!$A$13:$A$20</c:f>
              <c:multiLvlStrCache>
                <c:ptCount val="5"/>
                <c:lvl>
                  <c:pt idx="0">
                    <c:v>Finance</c:v>
                  </c:pt>
                  <c:pt idx="1">
                    <c:v>HR</c:v>
                  </c:pt>
                  <c:pt idx="2">
                    <c:v>IT</c:v>
                  </c:pt>
                  <c:pt idx="3">
                    <c:v>Finance</c:v>
                  </c:pt>
                  <c:pt idx="4">
                    <c:v>IT</c:v>
                  </c:pt>
                </c:lvl>
                <c:lvl>
                  <c:pt idx="0">
                    <c:v>Jan</c:v>
                  </c:pt>
                  <c:pt idx="3">
                    <c:v>Feb</c:v>
                  </c:pt>
                </c:lvl>
              </c:multiLvlStrCache>
            </c:multiLvlStrRef>
          </c:cat>
          <c:val>
            <c:numRef>
              <c:f>'Mereged &amp; Pivot Tables'!$C$13:$C$20</c:f>
              <c:numCache>
                <c:formatCode>General</c:formatCode>
                <c:ptCount val="5"/>
                <c:pt idx="0">
                  <c:v>13200</c:v>
                </c:pt>
                <c:pt idx="1">
                  <c:v>17100</c:v>
                </c:pt>
                <c:pt idx="2">
                  <c:v>20700</c:v>
                </c:pt>
                <c:pt idx="3">
                  <c:v>13200</c:v>
                </c:pt>
                <c:pt idx="4">
                  <c:v>20700</c:v>
                </c:pt>
              </c:numCache>
            </c:numRef>
          </c:val>
          <c:extLst>
            <c:ext xmlns:c16="http://schemas.microsoft.com/office/drawing/2014/chart" uri="{C3380CC4-5D6E-409C-BE32-E72D297353CC}">
              <c16:uniqueId val="{00000012-3C81-4221-8125-32C903EC3CFE}"/>
            </c:ext>
          </c:extLst>
        </c:ser>
        <c:ser>
          <c:idx val="2"/>
          <c:order val="2"/>
          <c:tx>
            <c:strRef>
              <c:f>'Mereged &amp; Pivot Tables'!$D$12</c:f>
              <c:strCache>
                <c:ptCount val="1"/>
                <c:pt idx="0">
                  <c:v>Total Employee</c:v>
                </c:pt>
              </c:strCache>
            </c:strRef>
          </c:tx>
          <c:spPr>
            <a:solidFill>
              <a:schemeClr val="accent3"/>
            </a:solidFill>
            <a:ln>
              <a:noFill/>
            </a:ln>
            <a:effectLst/>
          </c:spPr>
          <c:invertIfNegative val="0"/>
          <c:cat>
            <c:multiLvlStrRef>
              <c:f>'Mereged &amp; Pivot Tables'!$A$13:$A$20</c:f>
              <c:multiLvlStrCache>
                <c:ptCount val="5"/>
                <c:lvl>
                  <c:pt idx="0">
                    <c:v>Finance</c:v>
                  </c:pt>
                  <c:pt idx="1">
                    <c:v>HR</c:v>
                  </c:pt>
                  <c:pt idx="2">
                    <c:v>IT</c:v>
                  </c:pt>
                  <c:pt idx="3">
                    <c:v>Finance</c:v>
                  </c:pt>
                  <c:pt idx="4">
                    <c:v>IT</c:v>
                  </c:pt>
                </c:lvl>
                <c:lvl>
                  <c:pt idx="0">
                    <c:v>Jan</c:v>
                  </c:pt>
                  <c:pt idx="3">
                    <c:v>Feb</c:v>
                  </c:pt>
                </c:lvl>
              </c:multiLvlStrCache>
            </c:multiLvlStrRef>
          </c:cat>
          <c:val>
            <c:numRef>
              <c:f>'Mereged &amp; Pivot Tables'!$D$13:$D$20</c:f>
              <c:numCache>
                <c:formatCode>General</c:formatCode>
                <c:ptCount val="5"/>
                <c:pt idx="0">
                  <c:v>1</c:v>
                </c:pt>
                <c:pt idx="1">
                  <c:v>2</c:v>
                </c:pt>
                <c:pt idx="2">
                  <c:v>2</c:v>
                </c:pt>
                <c:pt idx="3">
                  <c:v>1</c:v>
                </c:pt>
                <c:pt idx="4">
                  <c:v>2</c:v>
                </c:pt>
              </c:numCache>
            </c:numRef>
          </c:val>
          <c:extLst>
            <c:ext xmlns:c16="http://schemas.microsoft.com/office/drawing/2014/chart" uri="{C3380CC4-5D6E-409C-BE32-E72D297353CC}">
              <c16:uniqueId val="{00000013-3C81-4221-8125-32C903EC3CFE}"/>
            </c:ext>
          </c:extLst>
        </c:ser>
        <c:dLbls>
          <c:showLegendKey val="0"/>
          <c:showVal val="0"/>
          <c:showCatName val="0"/>
          <c:showSerName val="0"/>
          <c:showPercent val="0"/>
          <c:showBubbleSize val="0"/>
        </c:dLbls>
        <c:gapWidth val="219"/>
        <c:overlap val="-27"/>
        <c:axId val="571760047"/>
        <c:axId val="571759567"/>
      </c:barChart>
      <c:catAx>
        <c:axId val="571760047"/>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759567"/>
        <c:crosses val="autoZero"/>
        <c:auto val="1"/>
        <c:lblAlgn val="ctr"/>
        <c:lblOffset val="100"/>
        <c:noMultiLvlLbl val="0"/>
      </c:catAx>
      <c:valAx>
        <c:axId val="571759567"/>
        <c:scaling>
          <c:orientation val="minMax"/>
        </c:scaling>
        <c:delete val="1"/>
        <c:axPos val="l"/>
        <c:numFmt formatCode="General" sourceLinked="1"/>
        <c:majorTickMark val="none"/>
        <c:minorTickMark val="none"/>
        <c:tickLblPos val="nextTo"/>
        <c:crossAx val="571760047"/>
        <c:crosses val="autoZero"/>
        <c:crossBetween val="between"/>
      </c:valAx>
      <c:spPr>
        <a:noFill/>
        <a:ln w="25400">
          <a:noFill/>
        </a:ln>
        <a:effectLst/>
      </c:spPr>
    </c:plotArea>
    <c:legend>
      <c:legendPos val="r"/>
      <c:layout>
        <c:manualLayout>
          <c:xMode val="edge"/>
          <c:yMode val="edge"/>
          <c:x val="0.56211438718764262"/>
          <c:y val="2.5148828051634528E-2"/>
          <c:w val="0.40576837530694582"/>
          <c:h val="0.171831772072028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1.xlsx]Mereged &amp; Pivot Tables!PivotTable2</c:name>
    <c:fmtId val="4"/>
  </c:pivotSource>
  <c:chart>
    <c:title>
      <c:tx>
        <c:rich>
          <a:bodyPr rot="0" spcFirstLastPara="1" vertOverflow="ellipsis" vert="horz" wrap="square" anchor="ctr" anchorCtr="1"/>
          <a:lstStyle/>
          <a:p>
            <a:pPr>
              <a:defRPr lang="en-US" sz="1600" b="1" i="1" u="sng" strike="noStrike" kern="1200" spc="0" baseline="0">
                <a:solidFill>
                  <a:schemeClr val="tx1"/>
                </a:solidFill>
                <a:latin typeface="+mn-lt"/>
                <a:ea typeface="+mn-ea"/>
                <a:cs typeface="+mn-cs"/>
              </a:defRPr>
            </a:pPr>
            <a:r>
              <a:rPr lang="en-US" sz="1600" b="1" i="1" u="sng"/>
              <a:t>Bonus</a:t>
            </a:r>
            <a:r>
              <a:rPr lang="en-US" sz="1600" b="1" i="1" u="sng" baseline="0"/>
              <a:t> by Month</a:t>
            </a:r>
          </a:p>
          <a:p>
            <a:pPr>
              <a:defRPr sz="1600" b="1" i="1" u="sng"/>
            </a:pPr>
            <a:endParaRPr lang="en-US" sz="1600" b="1" i="1" u="sng"/>
          </a:p>
        </c:rich>
      </c:tx>
      <c:overlay val="0"/>
      <c:spPr>
        <a:noFill/>
        <a:ln>
          <a:noFill/>
        </a:ln>
        <a:effectLst/>
      </c:spPr>
      <c:txPr>
        <a:bodyPr rot="0" spcFirstLastPara="1" vertOverflow="ellipsis" vert="horz" wrap="square" anchor="ctr" anchorCtr="1"/>
        <a:lstStyle/>
        <a:p>
          <a:pPr>
            <a:defRPr lang="en-US" sz="1600" b="1" i="1"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18110479418126"/>
          <c:y val="0.18510500007737662"/>
          <c:w val="0.77809890389011549"/>
          <c:h val="0.64989361303541038"/>
        </c:manualLayout>
      </c:layout>
      <c:barChart>
        <c:barDir val="col"/>
        <c:grouping val="clustered"/>
        <c:varyColors val="0"/>
        <c:ser>
          <c:idx val="0"/>
          <c:order val="0"/>
          <c:tx>
            <c:strRef>
              <c:f>'Mereged &amp; Pivot Tables'!$B$22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'Mereged &amp; Pivot Tables'!$A$23:$A$25</c:f>
              <c:strCache>
                <c:ptCount val="2"/>
                <c:pt idx="0">
                  <c:v>Jan</c:v>
                </c:pt>
                <c:pt idx="1">
                  <c:v>Feb</c:v>
                </c:pt>
              </c:strCache>
            </c:strRef>
          </c:cat>
          <c:val>
            <c:numRef>
              <c:f>'Mereged &amp; Pivot Tables'!$B$23:$B$25</c:f>
              <c:numCache>
                <c:formatCode>General</c:formatCode>
                <c:ptCount val="2"/>
                <c:pt idx="0">
                  <c:v>51000</c:v>
                </c:pt>
                <c:pt idx="1">
                  <c:v>33900</c:v>
                </c:pt>
              </c:numCache>
            </c:numRef>
          </c:val>
          <c:extLst>
            <c:ext xmlns:c16="http://schemas.microsoft.com/office/drawing/2014/chart" uri="{C3380CC4-5D6E-409C-BE32-E72D297353CC}">
              <c16:uniqueId val="{00000000-C7DE-418C-81BD-52DD7A3907F7}"/>
            </c:ext>
          </c:extLst>
        </c:ser>
        <c:dLbls>
          <c:showLegendKey val="0"/>
          <c:showVal val="0"/>
          <c:showCatName val="0"/>
          <c:showSerName val="0"/>
          <c:showPercent val="0"/>
          <c:showBubbleSize val="0"/>
        </c:dLbls>
        <c:gapWidth val="219"/>
        <c:overlap val="-27"/>
        <c:axId val="685553151"/>
        <c:axId val="685553631"/>
      </c:barChart>
      <c:catAx>
        <c:axId val="68555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85553631"/>
        <c:crosses val="autoZero"/>
        <c:auto val="1"/>
        <c:lblAlgn val="ctr"/>
        <c:lblOffset val="100"/>
        <c:noMultiLvlLbl val="0"/>
      </c:catAx>
      <c:valAx>
        <c:axId val="685553631"/>
        <c:scaling>
          <c:orientation val="minMax"/>
        </c:scaling>
        <c:delete val="1"/>
        <c:axPos val="l"/>
        <c:numFmt formatCode="General" sourceLinked="1"/>
        <c:majorTickMark val="none"/>
        <c:minorTickMark val="none"/>
        <c:tickLblPos val="nextTo"/>
        <c:crossAx val="68555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accent2">
          <a:lumMod val="50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871610</xdr:colOff>
      <xdr:row>6</xdr:row>
      <xdr:rowOff>9525</xdr:rowOff>
    </xdr:from>
    <xdr:to>
      <xdr:col>8</xdr:col>
      <xdr:colOff>608541</xdr:colOff>
      <xdr:row>16</xdr:row>
      <xdr:rowOff>1</xdr:rowOff>
    </xdr:to>
    <xdr:graphicFrame macro="">
      <xdr:nvGraphicFramePr>
        <xdr:cNvPr id="3" name="Chart 2">
          <a:extLst>
            <a:ext uri="{FF2B5EF4-FFF2-40B4-BE49-F238E27FC236}">
              <a16:creationId xmlns:a16="http://schemas.microsoft.com/office/drawing/2014/main" id="{938BED99-E559-4877-98C0-0716CA6AB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173778</xdr:colOff>
      <xdr:row>6</xdr:row>
      <xdr:rowOff>9524</xdr:rowOff>
    </xdr:from>
    <xdr:to>
      <xdr:col>4</xdr:col>
      <xdr:colOff>871610</xdr:colOff>
      <xdr:row>16</xdr:row>
      <xdr:rowOff>0</xdr:rowOff>
    </xdr:to>
    <xdr:graphicFrame macro="">
      <xdr:nvGraphicFramePr>
        <xdr:cNvPr id="4" name="Chart 3">
          <a:extLst>
            <a:ext uri="{FF2B5EF4-FFF2-40B4-BE49-F238E27FC236}">
              <a16:creationId xmlns:a16="http://schemas.microsoft.com/office/drawing/2014/main" id="{31CC7958-9CA3-4B4B-BA52-AB8CF2BB1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9</xdr:row>
      <xdr:rowOff>148167</xdr:rowOff>
    </xdr:from>
    <xdr:to>
      <xdr:col>2</xdr:col>
      <xdr:colOff>173778</xdr:colOff>
      <xdr:row>16</xdr:row>
      <xdr:rowOff>1</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CC770C51-57B2-42D7-ADD3-262E08EB2E3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1862667"/>
              <a:ext cx="1845945" cy="1185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9524</xdr:rowOff>
    </xdr:from>
    <xdr:to>
      <xdr:col>2</xdr:col>
      <xdr:colOff>173778</xdr:colOff>
      <xdr:row>9</xdr:row>
      <xdr:rowOff>148166</xdr:rowOff>
    </xdr:to>
    <mc:AlternateContent xmlns:mc="http://schemas.openxmlformats.org/markup-compatibility/2006">
      <mc:Choice xmlns:a14="http://schemas.microsoft.com/office/drawing/2010/main" Requires="a14">
        <xdr:graphicFrame macro="">
          <xdr:nvGraphicFramePr>
            <xdr:cNvPr id="6" name="Month (Month)">
              <a:extLst>
                <a:ext uri="{FF2B5EF4-FFF2-40B4-BE49-F238E27FC236}">
                  <a16:creationId xmlns:a16="http://schemas.microsoft.com/office/drawing/2014/main" id="{DABA24E5-31AC-474C-B9FC-18AF71FC2AFA}"/>
                </a:ext>
              </a:extLst>
            </xdr:cNvPr>
            <xdr:cNvGraphicFramePr/>
          </xdr:nvGraphicFramePr>
          <xdr:xfrm>
            <a:off x="0" y="0"/>
            <a:ext cx="0" cy="0"/>
          </xdr:xfrm>
          <a:graphic>
            <a:graphicData uri="http://schemas.microsoft.com/office/drawing/2010/slicer">
              <sle:slicer xmlns:sle="http://schemas.microsoft.com/office/drawing/2010/slicer" name="Month (Month)"/>
            </a:graphicData>
          </a:graphic>
        </xdr:graphicFrame>
      </mc:Choice>
      <mc:Fallback>
        <xdr:sp macro="" textlink="">
          <xdr:nvSpPr>
            <xdr:cNvPr id="0" name=""/>
            <xdr:cNvSpPr>
              <a:spLocks noTextEdit="1"/>
            </xdr:cNvSpPr>
          </xdr:nvSpPr>
          <xdr:spPr>
            <a:xfrm>
              <a:off x="0" y="1152524"/>
              <a:ext cx="1845945" cy="710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5.944936342596" backgroundQuery="1" createdVersion="8" refreshedVersion="8" minRefreshableVersion="3" recordCount="0" supportSubquery="1" supportAdvancedDrill="1" xr:uid="{FC1F368E-C1F4-43FB-91AE-EFFC31CFC9AC}">
  <cacheSource type="external" connectionId="4"/>
  <cacheFields count="2">
    <cacheField name="[Merge_Table].[Month (Month)].[Month (Month)]" caption="Month (Month)" numFmtId="0" hierarchy="5" level="1">
      <sharedItems count="2">
        <s v="Jan"/>
        <s v="Feb"/>
      </sharedItems>
    </cacheField>
    <cacheField name="[Measures].[Sum of Total Bonus Amount]" caption="Sum of Total Bonus Amount" numFmtId="0" hierarchy="10" level="32767"/>
  </cacheFields>
  <cacheHierarchies count="12">
    <cacheHierarchy uniqueName="[Merge_Table].[Department]" caption="Department" attribute="1" defaultMemberUniqueName="[Merge_Table].[Department].[All]" allUniqueName="[Merge_Table].[Department].[All]" dimensionUniqueName="[Merge_Table]" displayFolder="" count="2" memberValueDatatype="130" unbalanced="0"/>
    <cacheHierarchy uniqueName="[Merge_Table].[Month]" caption="Month" attribute="1" time="1" defaultMemberUniqueName="[Merge_Table].[Month].[All]" allUniqueName="[Merge_Table].[Month].[All]" dimensionUniqueName="[Merge_Table]" displayFolder="" count="2" memberValueDatatype="7" unbalanced="0"/>
    <cacheHierarchy uniqueName="[Merge_Table].[Total Sales]" caption="Total Sales" attribute="1" defaultMemberUniqueName="[Merge_Table].[Total Sales].[All]" allUniqueName="[Merge_Table].[Total Sales].[All]" dimensionUniqueName="[Merge_Table]" displayFolder="" count="2" memberValueDatatype="20" unbalanced="0"/>
    <cacheHierarchy uniqueName="[Merge_Table].[Total Bonus Amount]" caption="Total Bonus Amount" attribute="1" defaultMemberUniqueName="[Merge_Table].[Total Bonus Amount].[All]" allUniqueName="[Merge_Table].[Total Bonus Amount].[All]" dimensionUniqueName="[Merge_Table]" displayFolder="" count="2" memberValueDatatype="20" unbalanced="0"/>
    <cacheHierarchy uniqueName="[Merge_Table].[Employee Count]" caption="Employee Count" attribute="1" defaultMemberUniqueName="[Merge_Table].[Employee Count].[All]" allUniqueName="[Merge_Table].[Employee Count].[All]" dimensionUniqueName="[Merge_Table]" displayFolder="" count="2" memberValueDatatype="20" unbalanced="0"/>
    <cacheHierarchy uniqueName="[Merge_Table].[Month (Month)]" caption="Month (Month)" attribute="1" defaultMemberUniqueName="[Merge_Table].[Month (Month)].[All]" allUniqueName="[Merge_Table].[Month (Month)].[All]" dimensionUniqueName="[Merge_Table]" displayFolder="" count="2" memberValueDatatype="130" unbalanced="0">
      <fieldsUsage count="2">
        <fieldUsage x="-1"/>
        <fieldUsage x="0"/>
      </fieldsUsage>
    </cacheHierarchy>
    <cacheHierarchy uniqueName="[Merge_Table].[Month (Month Index)]" caption="Month (Month Index)" attribute="1" defaultMemberUniqueName="[Merge_Table].[Month (Month Index)].[All]" allUniqueName="[Merge_Table].[Month (Month Index)].[All]" dimensionUniqueName="[Merge_Table]" displayFolder="" count="2" memberValueDatatype="20" unbalanced="0" hidden="1"/>
    <cacheHierarchy uniqueName="[Measures].[__XL_Count Merge_Table]" caption="__XL_Count Merge_Table" measure="1" displayFolder="" measureGroup="Merge_Table" count="0" hidden="1"/>
    <cacheHierarchy uniqueName="[Measures].[__No measures defined]" caption="__No measures defined" measure="1" displayFolder="" count="0" hidden="1"/>
    <cacheHierarchy uniqueName="[Measures].[Sum of Total Sales]" caption="Sum of Total Sales" measure="1" displayFolder="" measureGroup="Merge_Table" count="0" hidden="1">
      <extLst>
        <ext xmlns:x15="http://schemas.microsoft.com/office/spreadsheetml/2010/11/main" uri="{B97F6D7D-B522-45F9-BDA1-12C45D357490}">
          <x15:cacheHierarchy aggregatedColumn="2"/>
        </ext>
      </extLst>
    </cacheHierarchy>
    <cacheHierarchy uniqueName="[Measures].[Sum of Total Bonus Amount]" caption="Sum of Total Bonus Amount" measure="1" displayFolder="" measureGroup="Merge_Tabl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Employee Count]" caption="Sum of Employee Count" measure="1" displayFolder="" measureGroup="Merge_Tabl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Merge_Table" uniqueName="[Merge_Table]" caption="Merge_Table"/>
  </dimensions>
  <measureGroups count="1">
    <measureGroup name="Merge_Table" caption="Merge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5.946478587961" backgroundQuery="1" createdVersion="8" refreshedVersion="8" minRefreshableVersion="3" recordCount="0" supportSubquery="1" supportAdvancedDrill="1" xr:uid="{27D52CF9-2F71-4623-AB74-79AC3075A6FE}">
  <cacheSource type="external" connectionId="4"/>
  <cacheFields count="5">
    <cacheField name="[Merge_Table].[Department].[Department]" caption="Department" numFmtId="0" level="1">
      <sharedItems count="3">
        <s v="Finance"/>
        <s v="HR"/>
        <s v="IT"/>
      </sharedItems>
    </cacheField>
    <cacheField name="[Measures].[Sum of Total Sales]" caption="Sum of Total Sales" numFmtId="0" hierarchy="9" level="32767"/>
    <cacheField name="[Measures].[Sum of Total Bonus Amount]" caption="Sum of Total Bonus Amount" numFmtId="0" hierarchy="10" level="32767"/>
    <cacheField name="[Measures].[Sum of Employee Count]" caption="Sum of Employee Count" numFmtId="0" hierarchy="11" level="32767"/>
    <cacheField name="[Merge_Table].[Month (Month)].[Month (Month)]" caption="Month (Month)" numFmtId="0" hierarchy="5" level="1">
      <sharedItems count="2">
        <s v="Jan"/>
        <s v="Feb"/>
      </sharedItems>
    </cacheField>
  </cacheFields>
  <cacheHierarchies count="12">
    <cacheHierarchy uniqueName="[Merge_Table].[Department]" caption="Department" attribute="1" defaultMemberUniqueName="[Merge_Table].[Department].[All]" allUniqueName="[Merge_Table].[Department].[All]" dimensionUniqueName="[Merge_Table]" displayFolder="" count="2" memberValueDatatype="130" unbalanced="0">
      <fieldsUsage count="2">
        <fieldUsage x="-1"/>
        <fieldUsage x="0"/>
      </fieldsUsage>
    </cacheHierarchy>
    <cacheHierarchy uniqueName="[Merge_Table].[Month]" caption="Month" attribute="1" time="1" defaultMemberUniqueName="[Merge_Table].[Month].[All]" allUniqueName="[Merge_Table].[Month].[All]" dimensionUniqueName="[Merge_Table]" displayFolder="" count="2" memberValueDatatype="7" unbalanced="0"/>
    <cacheHierarchy uniqueName="[Merge_Table].[Total Sales]" caption="Total Sales" attribute="1" defaultMemberUniqueName="[Merge_Table].[Total Sales].[All]" allUniqueName="[Merge_Table].[Total Sales].[All]" dimensionUniqueName="[Merge_Table]" displayFolder="" count="2" memberValueDatatype="20" unbalanced="0"/>
    <cacheHierarchy uniqueName="[Merge_Table].[Total Bonus Amount]" caption="Total Bonus Amount" attribute="1" defaultMemberUniqueName="[Merge_Table].[Total Bonus Amount].[All]" allUniqueName="[Merge_Table].[Total Bonus Amount].[All]" dimensionUniqueName="[Merge_Table]" displayFolder="" count="2" memberValueDatatype="20" unbalanced="0"/>
    <cacheHierarchy uniqueName="[Merge_Table].[Employee Count]" caption="Employee Count" attribute="1" defaultMemberUniqueName="[Merge_Table].[Employee Count].[All]" allUniqueName="[Merge_Table].[Employee Count].[All]" dimensionUniqueName="[Merge_Table]" displayFolder="" count="2" memberValueDatatype="20" unbalanced="0"/>
    <cacheHierarchy uniqueName="[Merge_Table].[Month (Month)]" caption="Month (Month)" attribute="1" defaultMemberUniqueName="[Merge_Table].[Month (Month)].[All]" allUniqueName="[Merge_Table].[Month (Month)].[All]" dimensionUniqueName="[Merge_Table]" displayFolder="" count="2" memberValueDatatype="130" unbalanced="0">
      <fieldsUsage count="2">
        <fieldUsage x="-1"/>
        <fieldUsage x="4"/>
      </fieldsUsage>
    </cacheHierarchy>
    <cacheHierarchy uniqueName="[Merge_Table].[Month (Month Index)]" caption="Month (Month Index)" attribute="1" defaultMemberUniqueName="[Merge_Table].[Month (Month Index)].[All]" allUniqueName="[Merge_Table].[Month (Month Index)].[All]" dimensionUniqueName="[Merge_Table]" displayFolder="" count="2" memberValueDatatype="20" unbalanced="0" hidden="1"/>
    <cacheHierarchy uniqueName="[Measures].[__XL_Count Merge_Table]" caption="__XL_Count Merge_Table" measure="1" displayFolder="" measureGroup="Merge_Table" count="0" hidden="1"/>
    <cacheHierarchy uniqueName="[Measures].[__No measures defined]" caption="__No measures defined" measure="1" displayFolder="" count="0" hidden="1"/>
    <cacheHierarchy uniqueName="[Measures].[Sum of Total Sales]" caption="Sum of Total Sales" measure="1" displayFolder="" measureGroup="Merge_Tabl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Total Bonus Amount]" caption="Sum of Total Bonus Amount" measure="1" displayFolder="" measureGroup="Merge_Table"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Employee Count]" caption="Sum of Employee Count" measure="1" displayFolder="" measureGroup="Merge_Table"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Merge_Table" uniqueName="[Merge_Table]" caption="Merge_Table"/>
  </dimensions>
  <measureGroups count="1">
    <measureGroup name="Merge_Table" caption="Merge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5.822057291669" backgroundQuery="1" createdVersion="3" refreshedVersion="8" minRefreshableVersion="3" recordCount="0" supportSubquery="1" supportAdvancedDrill="1" xr:uid="{6FBAF68E-DFEE-489E-91DC-8EB974C2BFA5}">
  <cacheSource type="external" connectionId="4">
    <extLst>
      <ext xmlns:x14="http://schemas.microsoft.com/office/spreadsheetml/2009/9/main" uri="{F057638F-6D5F-4e77-A914-E7F072B9BCA8}">
        <x14:sourceConnection name="ThisWorkbookDataModel"/>
      </ext>
    </extLst>
  </cacheSource>
  <cacheFields count="0"/>
  <cacheHierarchies count="12">
    <cacheHierarchy uniqueName="[Merge_Table].[Department]" caption="Department" attribute="1" defaultMemberUniqueName="[Merge_Table].[Department].[All]" allUniqueName="[Merge_Table].[Department].[All]" dimensionUniqueName="[Merge_Table]" displayFolder="" count="2" memberValueDatatype="130" unbalanced="0"/>
    <cacheHierarchy uniqueName="[Merge_Table].[Month]" caption="Month" attribute="1" time="1" defaultMemberUniqueName="[Merge_Table].[Month].[All]" allUniqueName="[Merge_Table].[Month].[All]" dimensionUniqueName="[Merge_Table]" displayFolder="" count="0" memberValueDatatype="7" unbalanced="0"/>
    <cacheHierarchy uniqueName="[Merge_Table].[Total Sales]" caption="Total Sales" attribute="1" defaultMemberUniqueName="[Merge_Table].[Total Sales].[All]" allUniqueName="[Merge_Table].[Total Sales].[All]" dimensionUniqueName="[Merge_Table]" displayFolder="" count="0" memberValueDatatype="20" unbalanced="0"/>
    <cacheHierarchy uniqueName="[Merge_Table].[Total Bonus Amount]" caption="Total Bonus Amount" attribute="1" defaultMemberUniqueName="[Merge_Table].[Total Bonus Amount].[All]" allUniqueName="[Merge_Table].[Total Bonus Amount].[All]" dimensionUniqueName="[Merge_Table]" displayFolder="" count="0" memberValueDatatype="20" unbalanced="0"/>
    <cacheHierarchy uniqueName="[Merge_Table].[Employee Count]" caption="Employee Count" attribute="1" defaultMemberUniqueName="[Merge_Table].[Employee Count].[All]" allUniqueName="[Merge_Table].[Employee Count].[All]" dimensionUniqueName="[Merge_Table]" displayFolder="" count="0" memberValueDatatype="20" unbalanced="0"/>
    <cacheHierarchy uniqueName="[Merge_Table].[Month (Month)]" caption="Month (Month)" attribute="1" defaultMemberUniqueName="[Merge_Table].[Month (Month)].[All]" allUniqueName="[Merge_Table].[Month (Month)].[All]" dimensionUniqueName="[Merge_Table]" displayFolder="" count="2" memberValueDatatype="130" unbalanced="0"/>
    <cacheHierarchy uniqueName="[Merge_Table].[Month (Month Index)]" caption="Month (Month Index)" attribute="1" defaultMemberUniqueName="[Merge_Table].[Month (Month Index)].[All]" allUniqueName="[Merge_Table].[Month (Month Index)].[All]" dimensionUniqueName="[Merge_Table]" displayFolder="" count="0" memberValueDatatype="20" unbalanced="0" hidden="1"/>
    <cacheHierarchy uniqueName="[Measures].[__XL_Count Merge_Table]" caption="__XL_Count Merge_Table" measure="1" displayFolder="" measureGroup="Merge_Table" count="0" hidden="1"/>
    <cacheHierarchy uniqueName="[Measures].[__No measures defined]" caption="__No measures defined" measure="1" displayFolder="" count="0" hidden="1"/>
    <cacheHierarchy uniqueName="[Measures].[Sum of Total Sales]" caption="Sum of Total Sales" measure="1" displayFolder="" measureGroup="Merge_Table" count="0" hidden="1">
      <extLst>
        <ext xmlns:x15="http://schemas.microsoft.com/office/spreadsheetml/2010/11/main" uri="{B97F6D7D-B522-45F9-BDA1-12C45D357490}">
          <x15:cacheHierarchy aggregatedColumn="2"/>
        </ext>
      </extLst>
    </cacheHierarchy>
    <cacheHierarchy uniqueName="[Measures].[Sum of Total Bonus Amount]" caption="Sum of Total Bonus Amount" measure="1" displayFolder="" measureGroup="Merge_Table" count="0" hidden="1">
      <extLst>
        <ext xmlns:x15="http://schemas.microsoft.com/office/spreadsheetml/2010/11/main" uri="{B97F6D7D-B522-45F9-BDA1-12C45D357490}">
          <x15:cacheHierarchy aggregatedColumn="3"/>
        </ext>
      </extLst>
    </cacheHierarchy>
    <cacheHierarchy uniqueName="[Measures].[Sum of Employee Count]" caption="Sum of Employee Count" measure="1" displayFolder="" measureGroup="Merge_Tabl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696736200"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5.894999884258" backgroundQuery="1" createdVersion="3" refreshedVersion="8" minRefreshableVersion="3" recordCount="0" supportSubquery="1" supportAdvancedDrill="1" xr:uid="{E5AF95CA-F773-4F2C-AD54-7A3E7A94AFCB}">
  <cacheSource type="external" connectionId="4">
    <extLst>
      <ext xmlns:x14="http://schemas.microsoft.com/office/spreadsheetml/2009/9/main" uri="{F057638F-6D5F-4e77-A914-E7F072B9BCA8}">
        <x14:sourceConnection name="ThisWorkbookDataModel"/>
      </ext>
    </extLst>
  </cacheSource>
  <cacheFields count="0"/>
  <cacheHierarchies count="12">
    <cacheHierarchy uniqueName="[Merge_Table].[Department]" caption="Department" attribute="1" defaultMemberUniqueName="[Merge_Table].[Department].[All]" allUniqueName="[Merge_Table].[Department].[All]" dimensionUniqueName="[Merge_Table]" displayFolder="" count="0" memberValueDatatype="130" unbalanced="0"/>
    <cacheHierarchy uniqueName="[Merge_Table].[Month]" caption="Month" attribute="1" time="1" defaultMemberUniqueName="[Merge_Table].[Month].[All]" allUniqueName="[Merge_Table].[Month].[All]" dimensionUniqueName="[Merge_Table]" displayFolder="" count="0" memberValueDatatype="7" unbalanced="0"/>
    <cacheHierarchy uniqueName="[Merge_Table].[Total Sales]" caption="Total Sales" attribute="1" defaultMemberUniqueName="[Merge_Table].[Total Sales].[All]" allUniqueName="[Merge_Table].[Total Sales].[All]" dimensionUniqueName="[Merge_Table]" displayFolder="" count="0" memberValueDatatype="20" unbalanced="0"/>
    <cacheHierarchy uniqueName="[Merge_Table].[Total Bonus Amount]" caption="Total Bonus Amount" attribute="1" defaultMemberUniqueName="[Merge_Table].[Total Bonus Amount].[All]" allUniqueName="[Merge_Table].[Total Bonus Amount].[All]" dimensionUniqueName="[Merge_Table]" displayFolder="" count="0" memberValueDatatype="20" unbalanced="0"/>
    <cacheHierarchy uniqueName="[Merge_Table].[Employee Count]" caption="Employee Count" attribute="1" defaultMemberUniqueName="[Merge_Table].[Employee Count].[All]" allUniqueName="[Merge_Table].[Employee Count].[All]" dimensionUniqueName="[Merge_Table]" displayFolder="" count="0" memberValueDatatype="20" unbalanced="0"/>
    <cacheHierarchy uniqueName="[Merge_Table].[Month (Month)]" caption="Month (Month)" attribute="1" defaultMemberUniqueName="[Merge_Table].[Month (Month)].[All]" allUniqueName="[Merge_Table].[Month (Month)].[All]" dimensionUniqueName="[Merge_Table]" displayFolder="" count="2" memberValueDatatype="130" unbalanced="0"/>
    <cacheHierarchy uniqueName="[Merge_Table].[Month (Month Index)]" caption="Month (Month Index)" attribute="1" defaultMemberUniqueName="[Merge_Table].[Month (Month Index)].[All]" allUniqueName="[Merge_Table].[Month (Month Index)].[All]" dimensionUniqueName="[Merge_Table]" displayFolder="" count="0" memberValueDatatype="20" unbalanced="0" hidden="1"/>
    <cacheHierarchy uniqueName="[Measures].[__XL_Count Merge_Table]" caption="__XL_Count Merge_Table" measure="1" displayFolder="" measureGroup="Merge_Table" count="0" hidden="1"/>
    <cacheHierarchy uniqueName="[Measures].[__No measures defined]" caption="__No measures defined" measure="1" displayFolder="" count="0" hidden="1"/>
    <cacheHierarchy uniqueName="[Measures].[Sum of Total Sales]" caption="Sum of Total Sales" measure="1" displayFolder="" measureGroup="Merge_Table" count="0" hidden="1">
      <extLst>
        <ext xmlns:x15="http://schemas.microsoft.com/office/spreadsheetml/2010/11/main" uri="{B97F6D7D-B522-45F9-BDA1-12C45D357490}">
          <x15:cacheHierarchy aggregatedColumn="2"/>
        </ext>
      </extLst>
    </cacheHierarchy>
    <cacheHierarchy uniqueName="[Measures].[Sum of Total Bonus Amount]" caption="Sum of Total Bonus Amount" measure="1" displayFolder="" measureGroup="Merge_Table" count="0" hidden="1">
      <extLst>
        <ext xmlns:x15="http://schemas.microsoft.com/office/spreadsheetml/2010/11/main" uri="{B97F6D7D-B522-45F9-BDA1-12C45D357490}">
          <x15:cacheHierarchy aggregatedColumn="3"/>
        </ext>
      </extLst>
    </cacheHierarchy>
    <cacheHierarchy uniqueName="[Measures].[Sum of Employee Count]" caption="Sum of Employee Count" measure="1" displayFolder="" measureGroup="Merge_Tabl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8337362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C8E12D-5400-44A9-94EC-E9C8B5BA4055}" name="PivotTable2" cacheId="504"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7" rowHeaderCaption="Months">
  <location ref="A22:B25" firstHeaderRow="1" firstDataRow="1" firstDataCol="1"/>
  <pivotFields count="2">
    <pivotField axis="axisRow" allDrilled="1" showAll="0" dataSourceSort="1" defaultAttributeDrillState="1">
      <items count="3">
        <item x="0"/>
        <item x="1"/>
        <item t="default"/>
      </items>
    </pivotField>
    <pivotField dataField="1" showAll="0"/>
  </pivotFields>
  <rowFields count="1">
    <field x="0"/>
  </rowFields>
  <rowItems count="3">
    <i>
      <x/>
    </i>
    <i>
      <x v="1"/>
    </i>
    <i t="grand">
      <x/>
    </i>
  </rowItems>
  <colItems count="1">
    <i/>
  </colItems>
  <dataFields count="1">
    <dataField name="Total Bonus Amount" fld="1" baseField="0" baseItem="0"/>
  </dataFields>
  <formats count="1">
    <format dxfId="3">
      <pivotArea dataOnly="0" labelOnly="1" fieldPosition="0">
        <references count="1">
          <reference field="0" count="1">
            <x v="0"/>
          </reference>
        </references>
      </pivotArea>
    </format>
  </formats>
  <chartFormats count="1">
    <chartFormat chart="4" format="2" series="1">
      <pivotArea type="data" outline="0" fieldPosition="0">
        <references count="1">
          <reference field="4294967294" count="1" selected="0">
            <x v="0"/>
          </reference>
        </references>
      </pivotArea>
    </chartFormat>
  </chartFormats>
  <pivotHierarchies count="12">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Medium8"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erge_Table">
        <x15:activeTabTopLevelEntity name="[Merge_Tabl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8DC5F7-E728-4267-BBC7-C5178CE13B7A}" name="PivotTable1" cacheId="516"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5" rowHeaderCaption="Months/Dept.">
  <location ref="A12:D20" firstHeaderRow="0" firstDataRow="1" firstDataCol="1"/>
  <pivotFields count="5">
    <pivotField axis="axisRow" allDrilled="1" showAll="0" dataSourceSort="1" defaultAttributeDrillState="1">
      <items count="4">
        <item x="0"/>
        <item x="1"/>
        <item x="2"/>
        <item t="default"/>
      </items>
    </pivotField>
    <pivotField dataField="1" showAll="0"/>
    <pivotField dataField="1" showAll="0"/>
    <pivotField dataField="1" showAll="0"/>
    <pivotField axis="axisRow" allDrilled="1" showAll="0" dataSourceSort="1" defaultAttributeDrillState="1">
      <items count="3">
        <item x="0"/>
        <item x="1"/>
        <item t="default"/>
      </items>
    </pivotField>
  </pivotFields>
  <rowFields count="2">
    <field x="4"/>
    <field x="0"/>
  </rowFields>
  <rowItems count="8">
    <i>
      <x/>
    </i>
    <i r="1">
      <x/>
    </i>
    <i r="1">
      <x v="1"/>
    </i>
    <i r="1">
      <x v="2"/>
    </i>
    <i>
      <x v="1"/>
    </i>
    <i r="1">
      <x/>
    </i>
    <i r="1">
      <x v="2"/>
    </i>
    <i t="grand">
      <x/>
    </i>
  </rowItems>
  <colFields count="1">
    <field x="-2"/>
  </colFields>
  <colItems count="3">
    <i>
      <x/>
    </i>
    <i i="1">
      <x v="1"/>
    </i>
    <i i="2">
      <x v="2"/>
    </i>
  </colItems>
  <dataFields count="3">
    <dataField name="Total Sales" fld="1" baseField="0" baseItem="0"/>
    <dataField name="Total Bonus Amount" fld="2" baseField="0" baseItem="0"/>
    <dataField name="Total Employee" fld="3" baseField="0" baseItem="0"/>
  </dataFields>
  <chartFormats count="3">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Hierarchies count="12">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Medium8" showRowHeaders="1" showColHeaders="1" showRowStripes="0" showColStripes="0" showLastColumn="1"/>
  <rowHierarchiesUsage count="2">
    <rowHierarchyUsage hierarchyUsage="5"/>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erge_Table">
        <x15:activeTabTopLevelEntity name="[Merge_Table]"/>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5E0B3121-4A20-4426-BA9B-2924DB3387E7}" autoFormatId="16" applyNumberFormats="0" applyBorderFormats="0" applyFontFormats="0" applyPatternFormats="0" applyAlignmentFormats="0" applyWidthHeightFormats="0">
  <queryTableRefresh nextId="14" unboundColumnsRight="1">
    <queryTableFields count="6">
      <queryTableField id="3" name="Department" tableColumnId="3"/>
      <queryTableField id="8" name="Month" tableColumnId="8"/>
      <queryTableField id="9" name="Total Sales" tableColumnId="9"/>
      <queryTableField id="10" name="Total Bonus Amount" tableColumnId="10"/>
      <queryTableField id="11" name="Employee Count" tableColumnId="11"/>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63012FF-4DCB-428F-BF86-3D0BD65DC4E0}" sourceName="[Merge_Table].[Department]">
  <pivotTables>
    <pivotTable tabId="6" name="PivotTable1"/>
  </pivotTables>
  <data>
    <olap pivotCacheId="696736200">
      <levels count="2">
        <level uniqueName="[Merge_Table].[Department].[(All)]" sourceCaption="(All)" count="0"/>
        <level uniqueName="[Merge_Table].[Department].[Department]" sourceCaption="Department" count="3" sortOrder="ascending">
          <ranges>
            <range startItem="0">
              <i n="[Merge_Table].[Department].&amp;[Finance]" c="Finance"/>
              <i n="[Merge_Table].[Department].&amp;[HR]" c="HR"/>
              <i n="[Merge_Table].[Department].&amp;[IT]" c="IT"/>
            </range>
          </ranges>
        </level>
      </levels>
      <selections count="1">
        <selection n="[Merge_Table].[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_Month" xr10:uid="{3252FFD3-8E18-4DE5-AB73-1F6E46BB97A1}" sourceName="[Merge_Table].[Month (Month)]">
  <pivotTables>
    <pivotTable tabId="6" name="PivotTable2"/>
    <pivotTable tabId="6" name="PivotTable1"/>
  </pivotTables>
  <data>
    <olap pivotCacheId="1833736277">
      <levels count="2">
        <level uniqueName="[Merge_Table].[Month (Month)].[(All)]" sourceCaption="(All)" count="0"/>
        <level uniqueName="[Merge_Table].[Month (Month)].[Month (Month)]" sourceCaption="Month (Month)" count="2" sortOrder="descending">
          <ranges>
            <range startItem="0">
              <i n="[Merge_Table].[Month (Month)].&amp;[Jan]" c="Jan"/>
              <i n="[Merge_Table].[Month (Month)].&amp;[Feb]" c="Feb"/>
            </range>
          </ranges>
        </level>
      </levels>
      <selections count="1">
        <selection n="[Merge_Table].[Month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01AAF3F-51CC-46D4-A08F-A228EE9ED6C3}" cache="Slicer_Department" caption="Department" level="1" style="SlicerStyleLight2" rowHeight="241300"/>
  <slicer name="Month (Month)" xr10:uid="{0D50439E-7A99-4595-BDB8-7D0931F23919}" cache="Slicer_Month__Month" caption="Month" columnCount="2" level="1" style="new"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E4B596-04B3-4358-946C-E958B8F978E9}" name="Merge_Table" displayName="Merge_Table" ref="A1:F6" tableType="queryTable" totalsRowShown="0">
  <autoFilter ref="A1:F6" xr:uid="{1DE4B596-04B3-4358-946C-E958B8F978E9}"/>
  <tableColumns count="6">
    <tableColumn id="3" xr3:uid="{D677A187-E41F-4545-BB2C-AC1C8E125CF0}" uniqueName="3" name="Department" queryTableFieldId="3" dataDxfId="6"/>
    <tableColumn id="8" xr3:uid="{308DB1B2-9B43-4DA4-97A1-6F36F4F956C0}" uniqueName="8" name="Date" queryTableFieldId="8" dataDxfId="5"/>
    <tableColumn id="9" xr3:uid="{4464CD48-89CF-4AE4-BDEE-DFF2CECC4AE7}" uniqueName="9" name="Total Sales" queryTableFieldId="9"/>
    <tableColumn id="10" xr3:uid="{18707C60-6F04-4955-9960-6E9A50377974}" uniqueName="10" name="Total Bonus Amount" queryTableFieldId="10"/>
    <tableColumn id="11" xr3:uid="{7A72BEBE-DD3D-4EB0-9472-C9280F8870EC}" uniqueName="11" name="Employee Count" queryTableFieldId="11"/>
    <tableColumn id="13" xr3:uid="{B8E03E8A-9287-44E0-ACD9-B23463A10F6A}" uniqueName="13" name="Month2" queryTableFieldId="13" dataDxfId="4">
      <calculatedColumnFormula>TEXT(Merge_Table[[#This Row],[Date]],"mmm")</calculatedColumnFormula>
    </tableColumn>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6D2820-0FE9-4B3B-982A-1B2FB4F07AF3}" name="Table2" displayName="Table2" ref="A1:G6" totalsRowShown="0" headerRowDxfId="15" headerRowBorderDxfId="23" tableBorderDxfId="24" totalsRowBorderDxfId="22">
  <autoFilter ref="A1:G6" xr:uid="{3D6D2820-0FE9-4B3B-982A-1B2FB4F07AF3}"/>
  <tableColumns count="7">
    <tableColumn id="1" xr3:uid="{00C30843-F465-4B69-8477-74C4DA97C7C1}" name="Emp_ID" dataDxfId="21"/>
    <tableColumn id="2" xr3:uid="{3EC0EA3A-C37A-4AAA-945A-636EBCFF99D8}" name="Emp_Name" dataDxfId="20"/>
    <tableColumn id="3" xr3:uid="{F33C26C8-DF40-4A0A-82E3-0A200C92DD3B}" name="Department" dataDxfId="19"/>
    <tableColumn id="4" xr3:uid="{3B77C794-98F9-4859-BA76-D5CB10919176}" name="City" dataDxfId="18"/>
    <tableColumn id="5" xr3:uid="{498945CB-4718-457F-BA89-E1FBD34A7FD5}" name="Join_Date" dataDxfId="7"/>
    <tableColumn id="6" xr3:uid="{33817632-919E-4075-B684-350FC877DA4A}" name="Salary" dataDxfId="17"/>
    <tableColumn id="7" xr3:uid="{7898E4C3-D5EF-4D28-BA91-159343315994}" name="Status" dataDxfId="1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A9CC23-AFEC-4981-9041-174CC979A5FC}" name="Table3" displayName="Table3" ref="A1:C7" totalsRowShown="0" headerRowDxfId="8" headerRowBorderDxfId="13" tableBorderDxfId="14" totalsRowBorderDxfId="12">
  <autoFilter ref="A1:C7" xr:uid="{71A9CC23-AFEC-4981-9041-174CC979A5FC}"/>
  <tableColumns count="3">
    <tableColumn id="1" xr3:uid="{81E9ADA5-94AC-4ADC-9FCA-30B653A42CE8}" name="Department" dataDxfId="11"/>
    <tableColumn id="2" xr3:uid="{4CC3500E-DF36-4644-B4C0-D5679CCF56EE}" name="Month" dataDxfId="10"/>
    <tableColumn id="3" xr3:uid="{62D3E1DD-B2ED-4CF9-BE73-F3F80037364D}" name="Target_Sales" dataDxfId="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98325E-2B83-49D5-9F0F-D1BD691162BD}" name="Table1" displayName="Table1" ref="A1:D9" totalsRowShown="0" headerRowDxfId="25" headerRowBorderDxfId="31" tableBorderDxfId="32" totalsRowBorderDxfId="30">
  <autoFilter ref="A1:D9" xr:uid="{EC98325E-2B83-49D5-9F0F-D1BD691162BD}"/>
  <tableColumns count="4">
    <tableColumn id="1" xr3:uid="{9C2CDA0A-6E72-4C50-9646-426468A6EF1A}" name="Emp_ID" dataDxfId="29"/>
    <tableColumn id="2" xr3:uid="{BF42F5C1-61DE-455B-AF79-CB8E66FFACA8}" name="Month" dataDxfId="28"/>
    <tableColumn id="3" xr3:uid="{45F1FD4F-270C-4892-9BBB-C3C40C11A70D}" name="Sales" dataDxfId="27"/>
    <tableColumn id="4" xr3:uid="{56DD4AAE-7C59-4141-9540-73FEAA683E1C}" name="Bonus_Percent" dataDxfId="2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7E183-87B1-414D-9E55-3911D0175406}">
  <dimension ref="A1:G34"/>
  <sheetViews>
    <sheetView tabSelected="1" zoomScale="110" zoomScaleNormal="110" workbookViewId="0">
      <selection activeCell="H18" sqref="H18"/>
    </sheetView>
  </sheetViews>
  <sheetFormatPr defaultRowHeight="15" x14ac:dyDescent="0.25"/>
  <cols>
    <col min="1" max="1" width="16" bestFit="1" customWidth="1"/>
    <col min="2" max="2" width="10.42578125" bestFit="1" customWidth="1"/>
    <col min="3" max="3" width="19.42578125" bestFit="1" customWidth="1"/>
    <col min="4" max="4" width="14.85546875" bestFit="1" customWidth="1"/>
    <col min="5" max="5" width="11.42578125" bestFit="1" customWidth="1"/>
    <col min="6" max="6" width="26" bestFit="1" customWidth="1"/>
    <col min="7" max="7" width="13.28515625" bestFit="1" customWidth="1"/>
    <col min="8" max="8" width="26.140625" bestFit="1" customWidth="1"/>
    <col min="9" max="9" width="17.28515625" customWidth="1"/>
    <col min="10" max="10" width="27.5703125" bestFit="1" customWidth="1"/>
  </cols>
  <sheetData>
    <row r="1" spans="1:6" x14ac:dyDescent="0.25">
      <c r="A1" t="s">
        <v>2</v>
      </c>
      <c r="B1" t="s">
        <v>31</v>
      </c>
      <c r="C1" t="s">
        <v>24</v>
      </c>
      <c r="D1" t="s">
        <v>25</v>
      </c>
      <c r="E1" t="s">
        <v>26</v>
      </c>
      <c r="F1" t="s">
        <v>27</v>
      </c>
    </row>
    <row r="2" spans="1:6" x14ac:dyDescent="0.25">
      <c r="A2" s="17" t="s">
        <v>8</v>
      </c>
      <c r="B2" s="1">
        <v>46045</v>
      </c>
      <c r="C2">
        <v>95000</v>
      </c>
      <c r="D2">
        <v>20700</v>
      </c>
      <c r="E2">
        <v>2</v>
      </c>
      <c r="F2" t="str">
        <f>TEXT(Merge_Table[[#This Row],[Date]],"mmm")</f>
        <v>Jan</v>
      </c>
    </row>
    <row r="3" spans="1:6" x14ac:dyDescent="0.25">
      <c r="A3" s="17" t="s">
        <v>12</v>
      </c>
      <c r="B3" s="1">
        <v>46045</v>
      </c>
      <c r="C3">
        <v>98000</v>
      </c>
      <c r="D3">
        <v>17100</v>
      </c>
      <c r="E3">
        <v>2</v>
      </c>
      <c r="F3" t="str">
        <f>TEXT(Merge_Table[[#This Row],[Date]],"mmm")</f>
        <v>Jan</v>
      </c>
    </row>
    <row r="4" spans="1:6" x14ac:dyDescent="0.25">
      <c r="A4" s="17" t="s">
        <v>18</v>
      </c>
      <c r="B4" s="1">
        <v>46045</v>
      </c>
      <c r="C4">
        <v>72000</v>
      </c>
      <c r="D4">
        <v>13200</v>
      </c>
      <c r="E4">
        <v>1</v>
      </c>
      <c r="F4" t="str">
        <f>TEXT(Merge_Table[[#This Row],[Date]],"mmm")</f>
        <v>Jan</v>
      </c>
    </row>
    <row r="5" spans="1:6" x14ac:dyDescent="0.25">
      <c r="A5" s="17" t="s">
        <v>8</v>
      </c>
      <c r="B5" s="1">
        <v>46076</v>
      </c>
      <c r="C5">
        <v>95000</v>
      </c>
      <c r="D5">
        <v>20700</v>
      </c>
      <c r="E5">
        <v>2</v>
      </c>
      <c r="F5" t="str">
        <f>TEXT(Merge_Table[[#This Row],[Date]],"mmm")</f>
        <v>Feb</v>
      </c>
    </row>
    <row r="6" spans="1:6" x14ac:dyDescent="0.25">
      <c r="A6" s="17" t="s">
        <v>18</v>
      </c>
      <c r="B6" s="1">
        <v>46076</v>
      </c>
      <c r="C6">
        <v>75000</v>
      </c>
      <c r="D6">
        <v>13200</v>
      </c>
      <c r="E6">
        <v>1</v>
      </c>
      <c r="F6" t="str">
        <f>TEXT(Merge_Table[[#This Row],[Date]],"mmm")</f>
        <v>Feb</v>
      </c>
    </row>
    <row r="8" spans="1:6" x14ac:dyDescent="0.25">
      <c r="A8" s="30" t="s">
        <v>36</v>
      </c>
      <c r="B8" s="30"/>
      <c r="C8" s="30"/>
      <c r="D8" s="30"/>
      <c r="E8" s="30"/>
      <c r="F8" s="30"/>
    </row>
    <row r="9" spans="1:6" x14ac:dyDescent="0.25">
      <c r="A9" s="30"/>
      <c r="B9" s="30"/>
      <c r="C9" s="30"/>
      <c r="D9" s="30"/>
      <c r="E9" s="30"/>
      <c r="F9" s="30"/>
    </row>
    <row r="10" spans="1:6" x14ac:dyDescent="0.25">
      <c r="A10" s="30"/>
      <c r="B10" s="30"/>
      <c r="C10" s="30"/>
      <c r="D10" s="30"/>
      <c r="E10" s="30"/>
      <c r="F10" s="30"/>
    </row>
    <row r="12" spans="1:6" x14ac:dyDescent="0.25">
      <c r="A12" s="19" t="s">
        <v>37</v>
      </c>
      <c r="B12" t="s">
        <v>24</v>
      </c>
      <c r="C12" t="s">
        <v>25</v>
      </c>
      <c r="D12" t="s">
        <v>32</v>
      </c>
    </row>
    <row r="13" spans="1:6" x14ac:dyDescent="0.25">
      <c r="A13" s="20" t="s">
        <v>29</v>
      </c>
      <c r="B13" s="17">
        <v>265000</v>
      </c>
      <c r="C13" s="17">
        <v>51000</v>
      </c>
      <c r="D13" s="17">
        <v>5</v>
      </c>
    </row>
    <row r="14" spans="1:6" x14ac:dyDescent="0.25">
      <c r="A14" s="21" t="s">
        <v>18</v>
      </c>
      <c r="B14" s="17">
        <v>72000</v>
      </c>
      <c r="C14" s="17">
        <v>13200</v>
      </c>
      <c r="D14" s="17">
        <v>1</v>
      </c>
    </row>
    <row r="15" spans="1:6" x14ac:dyDescent="0.25">
      <c r="A15" s="21" t="s">
        <v>12</v>
      </c>
      <c r="B15" s="17">
        <v>98000</v>
      </c>
      <c r="C15" s="17">
        <v>17100</v>
      </c>
      <c r="D15" s="17">
        <v>2</v>
      </c>
    </row>
    <row r="16" spans="1:6" x14ac:dyDescent="0.25">
      <c r="A16" s="21" t="s">
        <v>8</v>
      </c>
      <c r="B16" s="17">
        <v>95000</v>
      </c>
      <c r="C16" s="17">
        <v>20700</v>
      </c>
      <c r="D16" s="17">
        <v>2</v>
      </c>
    </row>
    <row r="17" spans="1:7" x14ac:dyDescent="0.25">
      <c r="A17" s="20" t="s">
        <v>30</v>
      </c>
      <c r="B17" s="17">
        <v>170000</v>
      </c>
      <c r="C17" s="17">
        <v>33900</v>
      </c>
      <c r="D17" s="17">
        <v>3</v>
      </c>
    </row>
    <row r="18" spans="1:7" x14ac:dyDescent="0.25">
      <c r="A18" s="21" t="s">
        <v>18</v>
      </c>
      <c r="B18" s="17">
        <v>75000</v>
      </c>
      <c r="C18" s="17">
        <v>13200</v>
      </c>
      <c r="D18" s="17">
        <v>1</v>
      </c>
    </row>
    <row r="19" spans="1:7" x14ac:dyDescent="0.25">
      <c r="A19" s="21" t="s">
        <v>8</v>
      </c>
      <c r="B19" s="17">
        <v>95000</v>
      </c>
      <c r="C19" s="17">
        <v>20700</v>
      </c>
      <c r="D19" s="17">
        <v>2</v>
      </c>
    </row>
    <row r="20" spans="1:7" x14ac:dyDescent="0.25">
      <c r="A20" s="20" t="s">
        <v>28</v>
      </c>
      <c r="B20" s="17">
        <v>435000</v>
      </c>
      <c r="C20" s="17">
        <v>84900</v>
      </c>
      <c r="D20" s="17">
        <v>8</v>
      </c>
    </row>
    <row r="21" spans="1:7" x14ac:dyDescent="0.25">
      <c r="G21" s="7"/>
    </row>
    <row r="22" spans="1:7" x14ac:dyDescent="0.25">
      <c r="A22" s="19" t="s">
        <v>38</v>
      </c>
      <c r="B22" t="s">
        <v>25</v>
      </c>
    </row>
    <row r="23" spans="1:7" x14ac:dyDescent="0.25">
      <c r="A23" s="22" t="s">
        <v>29</v>
      </c>
      <c r="B23" s="17">
        <v>51000</v>
      </c>
    </row>
    <row r="24" spans="1:7" x14ac:dyDescent="0.25">
      <c r="A24" s="20" t="s">
        <v>30</v>
      </c>
      <c r="B24" s="17">
        <v>33900</v>
      </c>
    </row>
    <row r="25" spans="1:7" x14ac:dyDescent="0.25">
      <c r="A25" s="20" t="s">
        <v>28</v>
      </c>
      <c r="B25" s="17">
        <v>84900</v>
      </c>
    </row>
    <row r="26" spans="1:7" x14ac:dyDescent="0.25">
      <c r="C26" s="17"/>
      <c r="D26" s="17"/>
    </row>
    <row r="27" spans="1:7" x14ac:dyDescent="0.25">
      <c r="C27" s="17"/>
      <c r="D27" s="17"/>
    </row>
    <row r="28" spans="1:7" x14ac:dyDescent="0.25">
      <c r="A28" s="21"/>
      <c r="B28" s="17"/>
      <c r="C28" s="17"/>
      <c r="D28" s="17"/>
    </row>
    <row r="29" spans="1:7" x14ac:dyDescent="0.25">
      <c r="A29" s="20"/>
      <c r="B29" s="17"/>
      <c r="C29" s="17"/>
      <c r="D29" s="17"/>
    </row>
    <row r="30" spans="1:7" x14ac:dyDescent="0.25">
      <c r="A30" s="21"/>
      <c r="B30" s="17"/>
      <c r="C30" s="17"/>
      <c r="D30" s="17"/>
    </row>
    <row r="31" spans="1:7" x14ac:dyDescent="0.25">
      <c r="A31" s="20"/>
      <c r="B31" s="17"/>
      <c r="C31" s="17"/>
      <c r="D31" s="17"/>
    </row>
    <row r="32" spans="1:7" x14ac:dyDescent="0.25">
      <c r="A32" s="21"/>
      <c r="B32" s="17"/>
      <c r="C32" s="17"/>
      <c r="D32" s="17"/>
    </row>
    <row r="33" spans="1:4" x14ac:dyDescent="0.25">
      <c r="A33" s="21"/>
      <c r="B33" s="17"/>
      <c r="C33" s="17"/>
      <c r="D33" s="17"/>
    </row>
    <row r="34" spans="1:4" x14ac:dyDescent="0.25">
      <c r="A34" s="20"/>
      <c r="B34" s="17"/>
      <c r="C34" s="17"/>
      <c r="D34" s="17"/>
    </row>
  </sheetData>
  <mergeCells count="1">
    <mergeCell ref="A8:F10"/>
  </mergeCells>
  <phoneticPr fontId="1" type="noConversion"/>
  <pageMargins left="0.7" right="0.7" top="0.75" bottom="0.75" header="0.3" footer="0.3"/>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8DE9F-2E75-416A-807F-5E88700EDCB4}">
  <dimension ref="A1:I9"/>
  <sheetViews>
    <sheetView showGridLines="0" zoomScale="180" zoomScaleNormal="180" workbookViewId="0">
      <selection activeCell="G2" sqref="G2:I5"/>
    </sheetView>
  </sheetViews>
  <sheetFormatPr defaultRowHeight="15" x14ac:dyDescent="0.25"/>
  <cols>
    <col min="1" max="4" width="12.5703125" customWidth="1"/>
    <col min="5" max="5" width="23.140625" bestFit="1" customWidth="1"/>
    <col min="6" max="6" width="18.85546875" customWidth="1"/>
  </cols>
  <sheetData>
    <row r="1" spans="1:9" ht="15" customHeight="1" x14ac:dyDescent="0.25">
      <c r="A1" s="23" t="s">
        <v>34</v>
      </c>
      <c r="B1" s="24"/>
      <c r="C1" s="24"/>
      <c r="D1" s="29"/>
      <c r="E1" s="31" t="s">
        <v>24</v>
      </c>
      <c r="F1" s="26">
        <f>GETPIVOTDATA("[Measures].[Sum of Total Sales]",'Mereged &amp; Pivot Tables'!$A$12)</f>
        <v>435000</v>
      </c>
      <c r="G1" s="32"/>
      <c r="H1" s="32"/>
      <c r="I1" s="32"/>
    </row>
    <row r="2" spans="1:9" ht="15" customHeight="1" x14ac:dyDescent="0.25">
      <c r="A2" s="24"/>
      <c r="B2" s="24"/>
      <c r="C2" s="24"/>
      <c r="D2" s="29"/>
      <c r="E2" s="31"/>
      <c r="F2" s="26"/>
      <c r="G2" s="33" t="s">
        <v>39</v>
      </c>
      <c r="H2" s="34"/>
      <c r="I2" s="34"/>
    </row>
    <row r="3" spans="1:9" ht="15" customHeight="1" x14ac:dyDescent="0.25">
      <c r="A3" s="24"/>
      <c r="B3" s="24"/>
      <c r="C3" s="24"/>
      <c r="D3" s="29"/>
      <c r="E3" s="31" t="s">
        <v>33</v>
      </c>
      <c r="F3" s="26">
        <f>GETPIVOTDATA("[Measures].[Sum of Employee Count]",'Mereged &amp; Pivot Tables'!$A$12)</f>
        <v>8</v>
      </c>
      <c r="G3" s="33"/>
      <c r="H3" s="34"/>
      <c r="I3" s="34"/>
    </row>
    <row r="4" spans="1:9" ht="15" customHeight="1" x14ac:dyDescent="0.25">
      <c r="A4" s="24"/>
      <c r="B4" s="24"/>
      <c r="C4" s="24"/>
      <c r="D4" s="29"/>
      <c r="E4" s="31"/>
      <c r="F4" s="26"/>
      <c r="G4" s="33"/>
      <c r="H4" s="34"/>
      <c r="I4" s="34"/>
    </row>
    <row r="5" spans="1:9" ht="15" customHeight="1" x14ac:dyDescent="0.25">
      <c r="A5" s="24"/>
      <c r="B5" s="24"/>
      <c r="C5" s="24"/>
      <c r="D5" s="29"/>
      <c r="E5" s="31" t="s">
        <v>35</v>
      </c>
      <c r="F5" s="25">
        <f>GETPIVOTDATA("[Measures].[Sum of Total Bonus Amount]",'Mereged &amp; Pivot Tables'!$A$12)</f>
        <v>84900</v>
      </c>
      <c r="G5" s="33"/>
      <c r="H5" s="34"/>
      <c r="I5" s="34"/>
    </row>
    <row r="6" spans="1:9" ht="15" customHeight="1" x14ac:dyDescent="0.25">
      <c r="A6" s="24"/>
      <c r="B6" s="24"/>
      <c r="C6" s="24"/>
      <c r="D6" s="29"/>
      <c r="E6" s="31"/>
      <c r="F6" s="25"/>
      <c r="G6" s="32"/>
      <c r="H6" s="32"/>
      <c r="I6" s="32"/>
    </row>
    <row r="7" spans="1:9" ht="15" customHeight="1" x14ac:dyDescent="0.25">
      <c r="E7" s="27"/>
      <c r="F7" s="28"/>
      <c r="G7" s="32"/>
      <c r="H7" s="32"/>
      <c r="I7" s="32"/>
    </row>
    <row r="8" spans="1:9" ht="15" customHeight="1" x14ac:dyDescent="0.25">
      <c r="E8" s="27"/>
      <c r="F8" s="27"/>
      <c r="G8" s="32"/>
      <c r="H8" s="32"/>
      <c r="I8" s="32"/>
    </row>
    <row r="9" spans="1:9" ht="15" customHeight="1" x14ac:dyDescent="0.25">
      <c r="E9" s="27"/>
      <c r="F9" s="27"/>
    </row>
  </sheetData>
  <mergeCells count="8">
    <mergeCell ref="G2:I5"/>
    <mergeCell ref="E3:E4"/>
    <mergeCell ref="F3:F4"/>
    <mergeCell ref="E5:E6"/>
    <mergeCell ref="F5:F6"/>
    <mergeCell ref="A1:D6"/>
    <mergeCell ref="E1:E2"/>
    <mergeCell ref="F1:F2"/>
  </mergeCells>
  <pageMargins left="0.7" right="0.7" top="0.75" bottom="0.75" header="0.3" footer="0.3"/>
  <pageSetup orientation="landscape" r:id="rId1"/>
  <headerFooter differentOddEven="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DE548-1B68-406D-8CD2-37E88D499222}">
  <dimension ref="A1:G6"/>
  <sheetViews>
    <sheetView workbookViewId="0">
      <selection activeCell="E1" sqref="E1:E1048576"/>
    </sheetView>
  </sheetViews>
  <sheetFormatPr defaultRowHeight="15" x14ac:dyDescent="0.25"/>
  <cols>
    <col min="1" max="1" width="9.85546875" customWidth="1"/>
    <col min="2" max="2" width="13.28515625" customWidth="1"/>
    <col min="3" max="3" width="13.85546875" customWidth="1"/>
    <col min="4" max="4" width="10" bestFit="1" customWidth="1"/>
    <col min="5" max="5" width="11.85546875" style="1" customWidth="1"/>
    <col min="6" max="6" width="8.42578125" customWidth="1"/>
    <col min="7" max="7" width="8.5703125" customWidth="1"/>
  </cols>
  <sheetData>
    <row r="1" spans="1:7" x14ac:dyDescent="0.25">
      <c r="A1" s="2" t="s">
        <v>0</v>
      </c>
      <c r="B1" s="3" t="s">
        <v>1</v>
      </c>
      <c r="C1" s="3" t="s">
        <v>2</v>
      </c>
      <c r="D1" s="3" t="s">
        <v>3</v>
      </c>
      <c r="E1" s="18" t="s">
        <v>4</v>
      </c>
      <c r="F1" s="3" t="s">
        <v>5</v>
      </c>
      <c r="G1" s="4" t="s">
        <v>6</v>
      </c>
    </row>
    <row r="2" spans="1:7" x14ac:dyDescent="0.25">
      <c r="A2" s="5">
        <v>101</v>
      </c>
      <c r="B2" s="7" t="s">
        <v>7</v>
      </c>
      <c r="C2" s="7" t="s">
        <v>8</v>
      </c>
      <c r="D2" s="7" t="s">
        <v>9</v>
      </c>
      <c r="E2" s="14">
        <v>44208</v>
      </c>
      <c r="F2" s="7">
        <v>120000</v>
      </c>
      <c r="G2" s="15" t="s">
        <v>10</v>
      </c>
    </row>
    <row r="3" spans="1:7" x14ac:dyDescent="0.25">
      <c r="A3" s="5">
        <v>102</v>
      </c>
      <c r="B3" s="7" t="s">
        <v>11</v>
      </c>
      <c r="C3" s="7" t="s">
        <v>12</v>
      </c>
      <c r="D3" s="7" t="s">
        <v>13</v>
      </c>
      <c r="E3" s="14">
        <v>43895</v>
      </c>
      <c r="F3" s="7">
        <v>95000</v>
      </c>
      <c r="G3" s="15" t="s">
        <v>14</v>
      </c>
    </row>
    <row r="4" spans="1:7" x14ac:dyDescent="0.25">
      <c r="A4" s="5">
        <v>103</v>
      </c>
      <c r="B4" s="7" t="s">
        <v>15</v>
      </c>
      <c r="C4" s="7" t="s">
        <v>8</v>
      </c>
      <c r="D4" s="7" t="s">
        <v>16</v>
      </c>
      <c r="E4" s="14">
        <v>44761</v>
      </c>
      <c r="F4" s="7">
        <v>87000</v>
      </c>
      <c r="G4" s="15" t="s">
        <v>10</v>
      </c>
    </row>
    <row r="5" spans="1:7" x14ac:dyDescent="0.25">
      <c r="A5" s="5">
        <v>104</v>
      </c>
      <c r="B5" s="7" t="s">
        <v>17</v>
      </c>
      <c r="C5" s="7" t="s">
        <v>18</v>
      </c>
      <c r="D5" s="7" t="s">
        <v>9</v>
      </c>
      <c r="E5" s="14">
        <v>43780</v>
      </c>
      <c r="F5" s="7">
        <v>110000</v>
      </c>
      <c r="G5" s="15" t="s">
        <v>10</v>
      </c>
    </row>
    <row r="6" spans="1:7" x14ac:dyDescent="0.25">
      <c r="A6" s="9">
        <v>105</v>
      </c>
      <c r="B6" s="11" t="s">
        <v>19</v>
      </c>
      <c r="C6" s="11" t="s">
        <v>12</v>
      </c>
      <c r="D6" s="11" t="s">
        <v>13</v>
      </c>
      <c r="E6" s="16">
        <v>44350</v>
      </c>
      <c r="F6" s="11">
        <v>95000</v>
      </c>
      <c r="G6" s="13" t="s">
        <v>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C91E6-C120-41E4-95DE-D096EBB10E01}">
  <dimension ref="A1:C7"/>
  <sheetViews>
    <sheetView workbookViewId="0">
      <selection activeCell="D14" sqref="D14"/>
    </sheetView>
  </sheetViews>
  <sheetFormatPr defaultRowHeight="15" x14ac:dyDescent="0.25"/>
  <cols>
    <col min="1" max="1" width="13.85546875" customWidth="1"/>
    <col min="2" max="2" width="9.140625" customWidth="1"/>
    <col min="3" max="3" width="14.28515625" customWidth="1"/>
  </cols>
  <sheetData>
    <row r="1" spans="1:3" x14ac:dyDescent="0.25">
      <c r="A1" s="2" t="s">
        <v>2</v>
      </c>
      <c r="B1" s="3" t="s">
        <v>20</v>
      </c>
      <c r="C1" s="4" t="s">
        <v>23</v>
      </c>
    </row>
    <row r="2" spans="1:3" x14ac:dyDescent="0.25">
      <c r="A2" s="5" t="s">
        <v>8</v>
      </c>
      <c r="B2" s="6">
        <v>46045</v>
      </c>
      <c r="C2" s="15">
        <v>150000</v>
      </c>
    </row>
    <row r="3" spans="1:3" x14ac:dyDescent="0.25">
      <c r="A3" s="5" t="s">
        <v>12</v>
      </c>
      <c r="B3" s="6">
        <v>46045</v>
      </c>
      <c r="C3" s="15">
        <v>100000</v>
      </c>
    </row>
    <row r="4" spans="1:3" x14ac:dyDescent="0.25">
      <c r="A4" s="5" t="s">
        <v>18</v>
      </c>
      <c r="B4" s="6">
        <v>46045</v>
      </c>
      <c r="C4" s="15">
        <v>130000</v>
      </c>
    </row>
    <row r="5" spans="1:3" x14ac:dyDescent="0.25">
      <c r="A5" s="5" t="s">
        <v>8</v>
      </c>
      <c r="B5" s="6">
        <v>46076</v>
      </c>
      <c r="C5" s="15">
        <v>160000</v>
      </c>
    </row>
    <row r="6" spans="1:3" x14ac:dyDescent="0.25">
      <c r="A6" s="5" t="s">
        <v>12</v>
      </c>
      <c r="B6" s="6">
        <v>46076</v>
      </c>
      <c r="C6" s="15">
        <v>105000</v>
      </c>
    </row>
    <row r="7" spans="1:3" x14ac:dyDescent="0.25">
      <c r="A7" s="9" t="s">
        <v>18</v>
      </c>
      <c r="B7" s="10">
        <v>46076</v>
      </c>
      <c r="C7" s="13">
        <v>145000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57FC9-E60B-430A-9B02-55DEC046F0C5}">
  <dimension ref="A1:D9"/>
  <sheetViews>
    <sheetView workbookViewId="0">
      <selection sqref="A1:D1048576"/>
    </sheetView>
  </sheetViews>
  <sheetFormatPr defaultRowHeight="15" x14ac:dyDescent="0.25"/>
  <cols>
    <col min="1" max="1" width="10" bestFit="1" customWidth="1"/>
    <col min="2" max="2" width="9.140625" customWidth="1"/>
    <col min="3" max="3" width="7.85546875" bestFit="1" customWidth="1"/>
    <col min="4" max="4" width="16.7109375" bestFit="1" customWidth="1"/>
  </cols>
  <sheetData>
    <row r="1" spans="1:4" x14ac:dyDescent="0.25">
      <c r="A1" s="2" t="s">
        <v>0</v>
      </c>
      <c r="B1" s="3" t="s">
        <v>20</v>
      </c>
      <c r="C1" s="3" t="s">
        <v>21</v>
      </c>
      <c r="D1" s="4" t="s">
        <v>22</v>
      </c>
    </row>
    <row r="2" spans="1:4" x14ac:dyDescent="0.25">
      <c r="A2" s="5">
        <v>101</v>
      </c>
      <c r="B2" s="6">
        <v>46045</v>
      </c>
      <c r="C2" s="7">
        <v>65000</v>
      </c>
      <c r="D2" s="8">
        <v>0.1</v>
      </c>
    </row>
    <row r="3" spans="1:4" x14ac:dyDescent="0.25">
      <c r="A3" s="5">
        <v>102</v>
      </c>
      <c r="B3" s="6">
        <v>46045</v>
      </c>
      <c r="C3" s="7">
        <v>48000</v>
      </c>
      <c r="D3" s="8">
        <v>0.08</v>
      </c>
    </row>
    <row r="4" spans="1:4" x14ac:dyDescent="0.25">
      <c r="A4" s="5">
        <v>103</v>
      </c>
      <c r="B4" s="6">
        <v>46045</v>
      </c>
      <c r="C4" s="7">
        <v>30000</v>
      </c>
      <c r="D4" s="8">
        <v>0.1</v>
      </c>
    </row>
    <row r="5" spans="1:4" x14ac:dyDescent="0.25">
      <c r="A5" s="5">
        <v>104</v>
      </c>
      <c r="B5" s="6">
        <v>46045</v>
      </c>
      <c r="C5" s="7">
        <v>72000</v>
      </c>
      <c r="D5" s="8">
        <v>0.12</v>
      </c>
    </row>
    <row r="6" spans="1:4" x14ac:dyDescent="0.25">
      <c r="A6" s="5">
        <v>105</v>
      </c>
      <c r="B6" s="6">
        <v>46045</v>
      </c>
      <c r="C6" s="7">
        <v>50000</v>
      </c>
      <c r="D6" s="8">
        <v>0.1</v>
      </c>
    </row>
    <row r="7" spans="1:4" x14ac:dyDescent="0.25">
      <c r="A7" s="5">
        <v>101</v>
      </c>
      <c r="B7" s="6">
        <v>46076</v>
      </c>
      <c r="C7" s="7">
        <v>60000</v>
      </c>
      <c r="D7" s="8">
        <v>0.1</v>
      </c>
    </row>
    <row r="8" spans="1:4" x14ac:dyDescent="0.25">
      <c r="A8" s="5">
        <v>103</v>
      </c>
      <c r="B8" s="6">
        <v>46076</v>
      </c>
      <c r="C8" s="7">
        <v>35000</v>
      </c>
      <c r="D8" s="8">
        <v>0.1</v>
      </c>
    </row>
    <row r="9" spans="1:4" x14ac:dyDescent="0.25">
      <c r="A9" s="9">
        <v>104</v>
      </c>
      <c r="B9" s="10">
        <v>46076</v>
      </c>
      <c r="C9" s="11">
        <v>75000</v>
      </c>
      <c r="D9" s="12">
        <v>0.12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DAD459-1B69-4755-9740-9F3199A08B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Mereged &amp; Pivot Tables</vt:lpstr>
      <vt:lpstr>Dashboard</vt:lpstr>
      <vt:lpstr>Employee</vt:lpstr>
      <vt:lpstr>Department Targets</vt:lpstr>
      <vt:lpstr>Employee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Duaa Shahid</dc:creator>
  <cp:lastModifiedBy>Duaa Shahid</cp:lastModifiedBy>
  <dcterms:created xsi:type="dcterms:W3CDTF">2026-02-01T15:40:33Z</dcterms:created>
  <dcterms:modified xsi:type="dcterms:W3CDTF">2026-02-02T18:12:47Z</dcterms:modified>
</cp:coreProperties>
</file>